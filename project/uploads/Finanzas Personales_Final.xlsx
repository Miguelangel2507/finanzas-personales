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Gastos" sheetId="2" r:id="rId6"/>
    <sheet state="visible" name="Histórico" sheetId="3" r:id="rId7"/>
  </sheets>
  <definedNames/>
  <calcPr/>
</workbook>
</file>

<file path=xl/sharedStrings.xml><?xml version="1.0" encoding="utf-8"?>
<sst xmlns="http://schemas.openxmlformats.org/spreadsheetml/2006/main" count="116" uniqueCount="114">
  <si>
    <t>💰  FINANZAS PERSONALES</t>
  </si>
  <si>
    <t>CONFIGURACIÓN</t>
  </si>
  <si>
    <t>RESUMEN</t>
  </si>
  <si>
    <t>Jornal mensual (€)</t>
  </si>
  <si>
    <t>Total gastos</t>
  </si>
  <si>
    <t>Mes</t>
  </si>
  <si>
    <t>Total inversión</t>
  </si>
  <si>
    <t>Ahorros (libre)</t>
  </si>
  <si>
    <t>% gastado</t>
  </si>
  <si>
    <t>% inversión</t>
  </si>
  <si>
    <t>% ahorros</t>
  </si>
  <si>
    <t>DESGLOSE POR CATEGORÍA</t>
  </si>
  <si>
    <t>Categoría</t>
  </si>
  <si>
    <t>% Jornal</t>
  </si>
  <si>
    <t>€ Mensual</t>
  </si>
  <si>
    <t>🏠  Casa (bote común)</t>
  </si>
  <si>
    <t>📋  Cuota autónomo</t>
  </si>
  <si>
    <t>🎭  Ocio</t>
  </si>
  <si>
    <t>🏋️  Gym</t>
  </si>
  <si>
    <t>📈  Fondos inversión</t>
  </si>
  <si>
    <t>🏦  Plan pensiones</t>
  </si>
  <si>
    <t>👕  Ropa</t>
  </si>
  <si>
    <t>🎁  Regalos</t>
  </si>
  <si>
    <t>🧴  Higiene</t>
  </si>
  <si>
    <t>🍔  Alimentación extra</t>
  </si>
  <si>
    <t>💊  Salud</t>
  </si>
  <si>
    <t>📱  Suscripciones</t>
  </si>
  <si>
    <t>🎓  Formación</t>
  </si>
  <si>
    <t>💰  Ahorros (libre)</t>
  </si>
  <si>
    <t>TOTAL</t>
  </si>
  <si>
    <t>GASTOS MENSUALES</t>
  </si>
  <si>
    <t>Jornal</t>
  </si>
  <si>
    <t>← Desde Dashboard</t>
  </si>
  <si>
    <t xml:space="preserve">  CASA</t>
  </si>
  <si>
    <t xml:space="preserve">  Alquiler / hipoteca</t>
  </si>
  <si>
    <t>Tu parte</t>
  </si>
  <si>
    <t xml:space="preserve">  Mantenimiento coche</t>
  </si>
  <si>
    <t>Seguro, ITV, revisiones</t>
  </si>
  <si>
    <t xml:space="preserve">  Viajes</t>
  </si>
  <si>
    <t>Transporte, escapadas</t>
  </si>
  <si>
    <t xml:space="preserve">  Luz</t>
  </si>
  <si>
    <t xml:space="preserve">  Agua</t>
  </si>
  <si>
    <t xml:space="preserve">  Gasolina</t>
  </si>
  <si>
    <t xml:space="preserve">  Mascota</t>
  </si>
  <si>
    <t>Comida, vet, accesorios</t>
  </si>
  <si>
    <t xml:space="preserve">  Supermercado</t>
  </si>
  <si>
    <t>Tu parte de la compra</t>
  </si>
  <si>
    <t xml:space="preserve">  Internet / móvil</t>
  </si>
  <si>
    <t>Fibra, tarifa móvil</t>
  </si>
  <si>
    <t>SUBTOTAL CASA</t>
  </si>
  <si>
    <t xml:space="preserve">  CUOTA AUTÓNOMO</t>
  </si>
  <si>
    <t xml:space="preserve">  Cuota autónomo</t>
  </si>
  <si>
    <t>Seguridad Social</t>
  </si>
  <si>
    <t xml:space="preserve">  OCIO</t>
  </si>
  <si>
    <t xml:space="preserve">  Ocio &amp; entretenimiento</t>
  </si>
  <si>
    <t>Salidas, cenas, actividades</t>
  </si>
  <si>
    <t xml:space="preserve">  GYM</t>
  </si>
  <si>
    <t xml:space="preserve">  Cuota gym / deporte</t>
  </si>
  <si>
    <t xml:space="preserve">  INVERSIONES</t>
  </si>
  <si>
    <t xml:space="preserve">  Fondos de inversión</t>
  </si>
  <si>
    <t>Aportación mensual</t>
  </si>
  <si>
    <t xml:space="preserve">  Plan de pensiones</t>
  </si>
  <si>
    <t>Límite 1.500€/año IRPF</t>
  </si>
  <si>
    <t>SUBTOTAL INVERSIONES</t>
  </si>
  <si>
    <t xml:space="preserve">  ROPA</t>
  </si>
  <si>
    <t xml:space="preserve">  Ropa &amp; calzado</t>
  </si>
  <si>
    <t xml:space="preserve">  REGALOS</t>
  </si>
  <si>
    <t xml:space="preserve">  Regalos</t>
  </si>
  <si>
    <t>Cumpleaños, navidades...</t>
  </si>
  <si>
    <t xml:space="preserve">  HIGIENE &amp; CUIDADO</t>
  </si>
  <si>
    <t xml:space="preserve">  Higiene, cosmética</t>
  </si>
  <si>
    <t xml:space="preserve">  ALIMENTACIÓN EXTRA</t>
  </si>
  <si>
    <t xml:space="preserve">  Cafés, delivery, restaurantes</t>
  </si>
  <si>
    <t xml:space="preserve">  SALUD</t>
  </si>
  <si>
    <t xml:space="preserve">  Seguro médico / farmacia</t>
  </si>
  <si>
    <t xml:space="preserve">  SUSCRIPCIONES</t>
  </si>
  <si>
    <t xml:space="preserve">  Streaming, apps</t>
  </si>
  <si>
    <t>Netflix, Spotify, iCloud...</t>
  </si>
  <si>
    <t xml:space="preserve">  FORMACIÓN</t>
  </si>
  <si>
    <t xml:space="preserve">  Cursos, libros</t>
  </si>
  <si>
    <t>TOTAL GASTOS</t>
  </si>
  <si>
    <t>TOTAL INVERSIÓN</t>
  </si>
  <si>
    <t>TOTAL SALIDA</t>
  </si>
  <si>
    <t>AHORROS (saldo libre)</t>
  </si>
  <si>
    <t>Lo que te queda después de todo</t>
  </si>
  <si>
    <t>HISTÓRICO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</si>
  <si>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</si>
  <si>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</si>
  <si>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</si>
  <si>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</si>
  <si>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</si>
  <si>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</si>
  <si>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</si>
  <si>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</si>
  <si>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</si>
  <si>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</si>
  <si>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</si>
  <si>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</si>
  <si>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Casa (bote común)</t>
  </si>
  <si>
    <t>Cuota autónomo</t>
  </si>
  <si>
    <t>Ocio</t>
  </si>
  <si>
    <t>Gym</t>
  </si>
  <si>
    <t>Fondos inversión</t>
  </si>
  <si>
    <t>Plan pensiones</t>
  </si>
  <si>
    <t>Ropa</t>
  </si>
  <si>
    <t>Regalos</t>
  </si>
  <si>
    <t>Higiene</t>
  </si>
  <si>
    <t>Alimentación extra</t>
  </si>
  <si>
    <t>Salud</t>
  </si>
  <si>
    <t>Suscripciones</t>
  </si>
  <si>
    <t>Formación</t>
  </si>
  <si>
    <t>TOTAL AHORRO</t>
  </si>
  <si>
    <t>Ahorros</t>
  </si>
  <si>
    <t>Jornal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</si>
</sst>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€#,##0.00"/>
    <numFmt numFmtId="165" formatCode="mmmm yyyy"/>
    <numFmt numFmtId="166" formatCode="0.0%"/>
  </numFmts>
  <fonts count="24">
    <font>
      <sz val="11.0"/>
      <color theme="1"/>
      <name val="Calibri"/>
      <scheme val="minor"/>
    </font>
    <font>
      <b/>
      <sz val="14.0"/>
      <color rgb="FFFFFFFF"/>
      <name val="Inter"/>
    </font>
    <font/>
    <font>
      <b/>
      <sz val="9.0"/>
      <color rgb="FFFFFFFF"/>
      <name val="Inter"/>
    </font>
    <font>
      <b/>
      <sz val="10.0"/>
      <color rgb="FF2D3748"/>
      <name val="Inter"/>
    </font>
    <font>
      <b/>
      <sz val="11.0"/>
      <color rgb="FF0F3460"/>
      <name val="Inter"/>
    </font>
    <font>
      <sz val="11.0"/>
      <color theme="1"/>
      <name val="Calibri"/>
    </font>
    <font>
      <sz val="10.0"/>
      <color rgb="FF2D3748"/>
      <name val="Inter"/>
    </font>
    <font>
      <b/>
      <sz val="10.0"/>
      <color rgb="FF0F3460"/>
      <name val="Inter"/>
    </font>
    <font>
      <sz val="10.0"/>
      <color rgb="FF2B6CB0"/>
      <name val="Inter"/>
    </font>
    <font>
      <b/>
      <sz val="10.0"/>
      <color rgb="FF1A1A2E"/>
      <name val="Inter"/>
    </font>
    <font>
      <b/>
      <sz val="12.0"/>
      <color rgb="FFFFFFFF"/>
      <name val="Inter"/>
    </font>
    <font>
      <b/>
      <sz val="10.0"/>
      <color rgb="FF2B6CB0"/>
      <name val="Inter"/>
    </font>
    <font>
      <i/>
      <sz val="9.0"/>
      <color rgb="FF718096"/>
      <name val="Inter"/>
    </font>
    <font>
      <b/>
      <sz val="12.0"/>
      <color rgb="FFFFFFFF"/>
      <name val="Montserrat"/>
    </font>
    <font>
      <color theme="1"/>
      <name val="Montserrat"/>
    </font>
    <font>
      <b/>
      <sz val="8.0"/>
      <color rgb="FFFFFFFF"/>
      <name val="Montserrat"/>
    </font>
    <font>
      <sz val="9.0"/>
      <color rgb="FF2D3748"/>
      <name val="Montserrat"/>
    </font>
    <font>
      <sz val="8.0"/>
      <color rgb="FF0F3460"/>
      <name val="Montserrat"/>
    </font>
    <font>
      <b/>
      <sz val="10.0"/>
      <color rgb="FFF3F3F3"/>
      <name val="Montserrat"/>
    </font>
    <font>
      <b/>
      <sz val="9.0"/>
      <color rgb="FF2D3748"/>
      <name val="Montserrat"/>
    </font>
    <font>
      <b/>
      <sz val="10.0"/>
      <color theme="1"/>
      <name val="Montserrat"/>
    </font>
    <font>
      <b/>
      <sz val="9.0"/>
      <color rgb="FF1A1A2E"/>
      <name val="Montserrat"/>
    </font>
    <font>
      <b/>
      <sz val="8.0"/>
      <color rgb="FF1A1A2E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E8EDF2"/>
        <bgColor rgb="FFE8EDF2"/>
      </patternFill>
    </fill>
    <fill>
      <patternFill patternType="solid">
        <fgColor rgb="FFF5C518"/>
        <bgColor rgb="FFF5C518"/>
      </patternFill>
    </fill>
    <fill>
      <patternFill patternType="solid">
        <fgColor rgb="FFFDECEA"/>
        <bgColor rgb="FFFDECEA"/>
      </patternFill>
    </fill>
    <fill>
      <patternFill patternType="solid">
        <fgColor rgb="FFD4EDDA"/>
        <bgColor rgb="FFD4EDDA"/>
      </patternFill>
    </fill>
    <fill>
      <patternFill patternType="solid">
        <fgColor rgb="FF16213E"/>
        <bgColor rgb="FF16213E"/>
      </patternFill>
    </fill>
    <fill>
      <patternFill patternType="solid">
        <fgColor rgb="FFFFFFFF"/>
        <bgColor rgb="FFFFFFFF"/>
      </patternFill>
    </fill>
    <fill>
      <patternFill patternType="solid">
        <fgColor rgb="FFD1DCF0"/>
        <bgColor rgb="FFD1DCF0"/>
      </patternFill>
    </fill>
    <fill>
      <patternFill patternType="solid">
        <fgColor rgb="FF175DB0"/>
        <bgColor rgb="FF175DB0"/>
      </patternFill>
    </fill>
    <fill>
      <patternFill patternType="solid">
        <fgColor rgb="FF000000"/>
        <bgColor rgb="FF000000"/>
      </patternFill>
    </fill>
  </fills>
  <borders count="11">
    <border/>
    <border>
      <left style="thin">
        <color rgb="FF1A1A2E"/>
      </left>
      <top style="thin">
        <color rgb="FF1A1A2E"/>
      </top>
      <bottom style="thin">
        <color rgb="FF1A1A2E"/>
      </bottom>
    </border>
    <border>
      <top style="thin">
        <color rgb="FF1A1A2E"/>
      </top>
      <bottom style="thin">
        <color rgb="FF1A1A2E"/>
      </bottom>
    </border>
    <border>
      <right/>
      <top style="thin">
        <color rgb="FF1A1A2E"/>
      </top>
      <bottom style="thin">
        <color rgb="FF1A1A2E"/>
      </bottom>
    </border>
    <border>
      <left style="thin">
        <color rgb="FFD1DCF0"/>
      </left>
      <right style="thin">
        <color rgb="FFD1DCF0"/>
      </right>
      <top style="thin">
        <color rgb="FFD1DCF0"/>
      </top>
      <bottom style="thin">
        <color rgb="FFD1DCF0"/>
      </bottom>
    </border>
    <border>
      <left style="thin">
        <color rgb="FFE8EDF2"/>
      </left>
      <right style="thin">
        <color rgb="FFE8EDF2"/>
      </right>
      <top style="thin">
        <color rgb="FFE8EDF2"/>
      </top>
      <bottom style="medium">
        <color rgb="FF1A1A2E"/>
      </bottom>
    </border>
    <border>
      <left style="thin">
        <color rgb="FF0F3460"/>
      </left>
      <top style="thin">
        <color rgb="FF0F3460"/>
      </top>
      <bottom style="thin">
        <color rgb="FF0F3460"/>
      </bottom>
    </border>
    <border>
      <top style="thin">
        <color rgb="FF0F3460"/>
      </top>
      <bottom style="thin">
        <color rgb="FF0F3460"/>
      </bottom>
    </border>
    <border>
      <right/>
      <top style="thin">
        <color rgb="FF0F3460"/>
      </top>
      <bottom style="thin">
        <color rgb="FF0F3460"/>
      </bottom>
    </border>
    <border>
      <left style="thin">
        <color rgb="FFE8EDF2"/>
      </left>
      <right style="thin">
        <color rgb="FFE8EDF2"/>
      </right>
      <top style="thin">
        <color rgb="FFE8EDF2"/>
      </top>
      <bottom style="medium">
        <color rgb="FF0F3460"/>
      </bottom>
    </border>
    <border>
      <right style="thin">
        <color rgb="FFEFEFEF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left" shrinkToFit="0" vertical="center" wrapText="0"/>
    </xf>
    <xf borderId="4" fillId="5" fontId="5" numFmtId="164" xfId="0" applyAlignment="1" applyBorder="1" applyFill="1" applyFont="1" applyNumberFormat="1">
      <alignment horizontal="right" readingOrder="0" shrinkToFit="0" vertical="center" wrapText="0"/>
    </xf>
    <xf borderId="4" fillId="0" fontId="6" numFmtId="0" xfId="0" applyAlignment="1" applyBorder="1" applyFont="1">
      <alignment shrinkToFit="0" vertical="bottom" wrapText="0"/>
    </xf>
    <xf borderId="4" fillId="6" fontId="4" numFmtId="0" xfId="0" applyAlignment="1" applyBorder="1" applyFill="1" applyFont="1">
      <alignment horizontal="left" shrinkToFit="0" vertical="center" wrapText="0"/>
    </xf>
    <xf borderId="4" fillId="6" fontId="7" numFmtId="164" xfId="0" applyAlignment="1" applyBorder="1" applyFont="1" applyNumberFormat="1">
      <alignment horizontal="right" shrinkToFit="0" vertical="center" wrapText="0"/>
    </xf>
    <xf borderId="4" fillId="5" fontId="8" numFmtId="165" xfId="0" applyAlignment="1" applyBorder="1" applyFont="1" applyNumberFormat="1">
      <alignment horizontal="right" readingOrder="0" shrinkToFit="0" vertical="center" wrapText="0"/>
    </xf>
    <xf borderId="4" fillId="7" fontId="4" numFmtId="0" xfId="0" applyAlignment="1" applyBorder="1" applyFill="1" applyFont="1">
      <alignment horizontal="left" shrinkToFit="0" vertical="center" wrapText="0"/>
    </xf>
    <xf borderId="4" fillId="7" fontId="7" numFmtId="164" xfId="0" applyAlignment="1" applyBorder="1" applyFont="1" applyNumberFormat="1">
      <alignment horizontal="right" shrinkToFit="0" vertical="center" wrapText="0"/>
    </xf>
    <xf borderId="4" fillId="6" fontId="7" numFmtId="166" xfId="0" applyAlignment="1" applyBorder="1" applyFont="1" applyNumberFormat="1">
      <alignment horizontal="right" shrinkToFit="0" vertical="center" wrapText="0"/>
    </xf>
    <xf borderId="4" fillId="7" fontId="7" numFmtId="166" xfId="0" applyAlignment="1" applyBorder="1" applyFont="1" applyNumberFormat="1">
      <alignment horizontal="right" shrinkToFit="0" vertical="center" wrapText="0"/>
    </xf>
    <xf borderId="4" fillId="8" fontId="3" numFmtId="0" xfId="0" applyAlignment="1" applyBorder="1" applyFill="1" applyFont="1">
      <alignment horizontal="center" shrinkToFit="0" vertical="center" wrapText="0"/>
    </xf>
    <xf borderId="4" fillId="4" fontId="7" numFmtId="0" xfId="0" applyAlignment="1" applyBorder="1" applyFont="1">
      <alignment horizontal="left" shrinkToFit="0" vertical="center" wrapText="0"/>
    </xf>
    <xf borderId="4" fillId="4" fontId="9" numFmtId="166" xfId="0" applyAlignment="1" applyBorder="1" applyFont="1" applyNumberFormat="1">
      <alignment horizontal="right" shrinkToFit="0" vertical="center" wrapText="0"/>
    </xf>
    <xf borderId="4" fillId="4" fontId="9" numFmtId="164" xfId="0" applyAlignment="1" applyBorder="1" applyFont="1" applyNumberFormat="1">
      <alignment horizontal="right" shrinkToFit="0" vertical="center" wrapText="0"/>
    </xf>
    <xf borderId="4" fillId="9" fontId="7" numFmtId="0" xfId="0" applyAlignment="1" applyBorder="1" applyFill="1" applyFont="1">
      <alignment horizontal="left" shrinkToFit="0" vertical="center" wrapText="0"/>
    </xf>
    <xf borderId="4" fillId="9" fontId="9" numFmtId="166" xfId="0" applyAlignment="1" applyBorder="1" applyFont="1" applyNumberFormat="1">
      <alignment horizontal="right" shrinkToFit="0" vertical="center" wrapText="0"/>
    </xf>
    <xf borderId="4" fillId="9" fontId="9" numFmtId="164" xfId="0" applyAlignment="1" applyBorder="1" applyFont="1" applyNumberFormat="1">
      <alignment horizontal="right" shrinkToFit="0" vertical="center" wrapText="0"/>
    </xf>
    <xf borderId="5" fillId="10" fontId="10" numFmtId="0" xfId="0" applyAlignment="1" applyBorder="1" applyFill="1" applyFont="1">
      <alignment horizontal="left" shrinkToFit="0" vertical="center" wrapText="0"/>
    </xf>
    <xf borderId="5" fillId="10" fontId="10" numFmtId="166" xfId="0" applyAlignment="1" applyBorder="1" applyFont="1" applyNumberFormat="1">
      <alignment horizontal="right" shrinkToFit="0" vertical="center" wrapText="0"/>
    </xf>
    <xf borderId="5" fillId="10" fontId="7" numFmtId="0" xfId="0" applyAlignment="1" applyBorder="1" applyFont="1">
      <alignment horizontal="left" shrinkToFit="0" vertical="center" wrapText="0"/>
    </xf>
    <xf borderId="5" fillId="10" fontId="10" numFmtId="164" xfId="0" applyAlignment="1" applyBorder="1" applyFont="1" applyNumberFormat="1">
      <alignment horizontal="right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4" fillId="5" fontId="12" numFmtId="164" xfId="0" applyAlignment="1" applyBorder="1" applyFont="1" applyNumberFormat="1">
      <alignment horizontal="right" shrinkToFit="0" vertical="center" wrapText="0"/>
    </xf>
    <xf borderId="4" fillId="4" fontId="13" numFmtId="0" xfId="0" applyAlignment="1" applyBorder="1" applyFont="1">
      <alignment horizontal="left" shrinkToFit="0" vertical="center" wrapText="0"/>
    </xf>
    <xf borderId="6" fillId="11" fontId="3" numFmtId="0" xfId="0" applyAlignment="1" applyBorder="1" applyFill="1" applyFont="1">
      <alignment horizontal="left" shrinkToFit="0" vertical="center" wrapText="0"/>
    </xf>
    <xf borderId="7" fillId="0" fontId="2" numFmtId="0" xfId="0" applyBorder="1" applyFont="1"/>
    <xf borderId="8" fillId="0" fontId="2" numFmtId="0" xfId="0" applyBorder="1" applyFont="1"/>
    <xf borderId="4" fillId="5" fontId="8" numFmtId="166" xfId="0" applyAlignment="1" applyBorder="1" applyFont="1" applyNumberFormat="1">
      <alignment horizontal="right" readingOrder="0" shrinkToFit="0" vertical="center" wrapText="0"/>
    </xf>
    <xf borderId="4" fillId="9" fontId="7" numFmtId="164" xfId="0" applyAlignment="1" applyBorder="1" applyFont="1" applyNumberFormat="1">
      <alignment horizontal="right" readingOrder="0" shrinkToFit="0" vertical="center" wrapText="0"/>
    </xf>
    <xf borderId="4" fillId="9" fontId="13" numFmtId="0" xfId="0" applyAlignment="1" applyBorder="1" applyFont="1">
      <alignment horizontal="left" shrinkToFit="0" vertical="center" wrapText="0"/>
    </xf>
    <xf borderId="4" fillId="4" fontId="7" numFmtId="164" xfId="0" applyAlignment="1" applyBorder="1" applyFont="1" applyNumberFormat="1">
      <alignment horizontal="right" readingOrder="0" shrinkToFit="0" vertical="center" wrapText="0"/>
    </xf>
    <xf borderId="9" fillId="10" fontId="8" numFmtId="0" xfId="0" applyAlignment="1" applyBorder="1" applyFont="1">
      <alignment horizontal="left" shrinkToFit="0" vertical="center" wrapText="0"/>
    </xf>
    <xf borderId="9" fillId="10" fontId="8" numFmtId="166" xfId="0" applyAlignment="1" applyBorder="1" applyFont="1" applyNumberFormat="1">
      <alignment horizontal="right" shrinkToFit="0" vertical="center" wrapText="0"/>
    </xf>
    <xf borderId="9" fillId="10" fontId="8" numFmtId="164" xfId="0" applyAlignment="1" applyBorder="1" applyFont="1" applyNumberFormat="1">
      <alignment horizontal="right" shrinkToFit="0" vertical="center" wrapText="0"/>
    </xf>
    <xf borderId="9" fillId="10" fontId="7" numFmtId="0" xfId="0" applyAlignment="1" applyBorder="1" applyFont="1">
      <alignment horizontal="left" shrinkToFit="0" vertical="center" wrapText="0"/>
    </xf>
    <xf borderId="6" fillId="3" fontId="3" numFmtId="0" xfId="0" applyAlignment="1" applyBorder="1" applyFont="1">
      <alignment horizontal="left" shrinkToFit="0" vertical="center" wrapText="0"/>
    </xf>
    <xf borderId="5" fillId="4" fontId="10" numFmtId="0" xfId="0" applyAlignment="1" applyBorder="1" applyFont="1">
      <alignment horizontal="left" shrinkToFit="0" vertical="center" wrapText="0"/>
    </xf>
    <xf borderId="5" fillId="4" fontId="10" numFmtId="166" xfId="0" applyAlignment="1" applyBorder="1" applyFont="1" applyNumberFormat="1">
      <alignment horizontal="right" shrinkToFit="0" vertical="center" wrapText="0"/>
    </xf>
    <xf borderId="5" fillId="4" fontId="10" numFmtId="164" xfId="0" applyAlignment="1" applyBorder="1" applyFont="1" applyNumberFormat="1">
      <alignment horizontal="right" shrinkToFit="0" vertical="center" wrapText="0"/>
    </xf>
    <xf borderId="5" fillId="4" fontId="7" numFmtId="0" xfId="0" applyAlignment="1" applyBorder="1" applyFont="1">
      <alignment horizontal="left" shrinkToFit="0" vertical="center" wrapText="0"/>
    </xf>
    <xf borderId="5" fillId="7" fontId="10" numFmtId="0" xfId="0" applyAlignment="1" applyBorder="1" applyFont="1">
      <alignment horizontal="left" shrinkToFit="0" vertical="center" wrapText="0"/>
    </xf>
    <xf borderId="5" fillId="7" fontId="10" numFmtId="166" xfId="0" applyAlignment="1" applyBorder="1" applyFont="1" applyNumberFormat="1">
      <alignment horizontal="right" shrinkToFit="0" vertical="center" wrapText="0"/>
    </xf>
    <xf borderId="5" fillId="7" fontId="10" numFmtId="164" xfId="0" applyAlignment="1" applyBorder="1" applyFont="1" applyNumberFormat="1">
      <alignment horizontal="right" shrinkToFit="0" vertical="center" wrapText="0"/>
    </xf>
    <xf borderId="5" fillId="7" fontId="7" numFmtId="0" xfId="0" applyAlignment="1" applyBorder="1" applyFont="1">
      <alignment horizontal="left" shrinkToFit="0" vertical="center" wrapText="0"/>
    </xf>
    <xf borderId="9" fillId="7" fontId="8" numFmtId="0" xfId="0" applyAlignment="1" applyBorder="1" applyFont="1">
      <alignment horizontal="left" shrinkToFit="0" vertical="center" wrapText="0"/>
    </xf>
    <xf borderId="9" fillId="7" fontId="8" numFmtId="166" xfId="0" applyAlignment="1" applyBorder="1" applyFont="1" applyNumberFormat="1">
      <alignment horizontal="right" shrinkToFit="0" vertical="center" wrapText="0"/>
    </xf>
    <xf borderId="9" fillId="7" fontId="8" numFmtId="164" xfId="0" applyAlignment="1" applyBorder="1" applyFont="1" applyNumberFormat="1">
      <alignment horizontal="right" shrinkToFit="0" vertical="center" wrapText="0"/>
    </xf>
    <xf borderId="9" fillId="7" fontId="13" numFmtId="0" xfId="0" applyAlignment="1" applyBorder="1" applyFont="1">
      <alignment horizontal="left" shrinkToFit="0" vertical="center" wrapText="0"/>
    </xf>
    <xf borderId="0" fillId="2" fontId="14" numFmtId="0" xfId="0" applyAlignment="1" applyFont="1">
      <alignment horizontal="center" shrinkToFit="0" vertical="center" wrapText="0"/>
    </xf>
    <xf borderId="0" fillId="0" fontId="15" numFmtId="0" xfId="0" applyFont="1"/>
    <xf borderId="0" fillId="3" fontId="16" numFmtId="0" xfId="0" applyAlignment="1" applyFont="1">
      <alignment horizontal="center" shrinkToFit="0" vertical="center" wrapText="0"/>
    </xf>
    <xf borderId="0" fillId="9" fontId="17" numFmtId="0" xfId="0" applyAlignment="1" applyFont="1">
      <alignment horizontal="left" shrinkToFit="0" vertical="center" wrapText="0"/>
    </xf>
    <xf borderId="10" fillId="9" fontId="18" numFmtId="164" xfId="0" applyAlignment="1" applyBorder="1" applyFont="1" applyNumberFormat="1">
      <alignment horizontal="right" shrinkToFit="0" vertical="center" wrapText="0"/>
    </xf>
    <xf borderId="10" fillId="9" fontId="18" numFmtId="164" xfId="0" applyAlignment="1" applyBorder="1" applyFont="1" applyNumberFormat="1">
      <alignment horizontal="right" readingOrder="0" shrinkToFit="0" vertical="center" wrapText="0"/>
    </xf>
    <xf borderId="0" fillId="4" fontId="17" numFmtId="0" xfId="0" applyAlignment="1" applyFont="1">
      <alignment horizontal="left" shrinkToFit="0" vertical="center" wrapText="0"/>
    </xf>
    <xf borderId="10" fillId="4" fontId="18" numFmtId="164" xfId="0" applyAlignment="1" applyBorder="1" applyFont="1" applyNumberFormat="1">
      <alignment horizontal="right" shrinkToFit="0" vertical="center" wrapText="0"/>
    </xf>
    <xf borderId="10" fillId="4" fontId="18" numFmtId="164" xfId="0" applyAlignment="1" applyBorder="1" applyFont="1" applyNumberFormat="1">
      <alignment horizontal="right" readingOrder="0" shrinkToFit="0" vertical="center" wrapText="0"/>
    </xf>
    <xf borderId="0" fillId="12" fontId="19" numFmtId="0" xfId="0" applyAlignment="1" applyFill="1" applyFont="1">
      <alignment horizontal="center" readingOrder="0" vertical="center"/>
    </xf>
    <xf borderId="0" fillId="7" fontId="20" numFmtId="0" xfId="0" applyAlignment="1" applyFont="1">
      <alignment horizontal="left" shrinkToFit="0" vertical="center" wrapText="0"/>
    </xf>
    <xf borderId="10" fillId="7" fontId="18" numFmtId="164" xfId="0" applyAlignment="1" applyBorder="1" applyFont="1" applyNumberFormat="1">
      <alignment horizontal="right" shrinkToFit="0" vertical="center" wrapText="0"/>
    </xf>
    <xf borderId="10" fillId="7" fontId="18" numFmtId="164" xfId="0" applyAlignment="1" applyBorder="1" applyFont="1" applyNumberFormat="1">
      <alignment horizontal="right" readingOrder="0" shrinkToFit="0" vertical="center" wrapText="0"/>
    </xf>
    <xf borderId="0" fillId="7" fontId="21" numFmtId="164" xfId="0" applyAlignment="1" applyFont="1" applyNumberFormat="1">
      <alignment horizontal="center" vertical="center"/>
    </xf>
    <xf borderId="0" fillId="10" fontId="22" numFmtId="0" xfId="0" applyAlignment="1" applyFont="1">
      <alignment horizontal="left" shrinkToFit="0" vertical="center" wrapText="0"/>
    </xf>
    <xf borderId="10" fillId="10" fontId="23" numFmtId="164" xfId="0" applyAlignment="1" applyBorder="1" applyFont="1" applyNumberFormat="1">
      <alignment horizontal="right" shrinkToFit="0" vertical="center" wrapText="0"/>
    </xf>
    <xf borderId="0" fillId="5" fontId="20" numFmtId="0" xfId="0" applyAlignment="1" applyFont="1">
      <alignment horizontal="left" shrinkToFit="0" vertical="center" wrapText="0"/>
    </xf>
    <xf borderId="10" fillId="5" fontId="18" numFmtId="164" xfId="0" applyAlignment="1" applyBorder="1" applyFont="1" applyNumberFormat="1">
      <alignment horizontal="right" shrinkToFit="0" vertical="center" wrapText="0"/>
    </xf>
    <xf borderId="10" fillId="5" fontId="18" numFmtId="164" xfId="0" applyAlignment="1" applyBorder="1" applyFont="1" applyNumberForma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4.0"/>
    <col customWidth="1" min="4" max="4" width="24.0"/>
    <col customWidth="1" min="5" max="5" width="16.0"/>
    <col customWidth="1" min="6" max="26" width="8.71"/>
  </cols>
  <sheetData>
    <row r="1" ht="39.75" customHeight="1">
      <c r="A1" s="1" t="s">
        <v>0</v>
      </c>
      <c r="B1" s="2"/>
      <c r="C1" s="2"/>
      <c r="D1" s="2"/>
      <c r="E1" s="3"/>
    </row>
    <row r="2" ht="6.0" customHeight="1"/>
    <row r="3" ht="18.0" customHeight="1">
      <c r="A3" s="4" t="s">
        <v>1</v>
      </c>
      <c r="B3" s="3"/>
      <c r="D3" s="4" t="s">
        <v>2</v>
      </c>
      <c r="E3" s="3"/>
    </row>
    <row r="4" ht="19.5" customHeight="1">
      <c r="A4" s="5" t="s">
        <v>3</v>
      </c>
      <c r="B4" s="6">
        <v>2375.0</v>
      </c>
      <c r="C4" s="7"/>
      <c r="D4" s="8" t="s">
        <v>4</v>
      </c>
      <c r="E4" s="9">
        <f>Gastos!C39</f>
        <v>1518.5</v>
      </c>
    </row>
    <row r="5" ht="19.5" customHeight="1">
      <c r="A5" s="5" t="s">
        <v>5</v>
      </c>
      <c r="B5" s="10">
        <v>46174.0</v>
      </c>
      <c r="C5" s="7"/>
      <c r="D5" s="11" t="s">
        <v>6</v>
      </c>
      <c r="E5" s="12">
        <f>Gastos!C40</f>
        <v>400</v>
      </c>
    </row>
    <row r="6" ht="19.5" customHeight="1">
      <c r="D6" s="11" t="s">
        <v>7</v>
      </c>
      <c r="E6" s="12">
        <f>Gastos!C42</f>
        <v>456.5</v>
      </c>
    </row>
    <row r="7" ht="19.5" customHeight="1">
      <c r="D7" s="8" t="s">
        <v>8</v>
      </c>
      <c r="E7" s="13">
        <f>IF(Dashboard!B4=0,0,Gastos!C39/Dashboard!B4)</f>
        <v>0.6393684211</v>
      </c>
    </row>
    <row r="8" ht="19.5" customHeight="1">
      <c r="D8" s="11" t="s">
        <v>9</v>
      </c>
      <c r="E8" s="14">
        <f>IF(Dashboard!B4=0,0,Gastos!C40/Dashboard!B4)</f>
        <v>0.1684210526</v>
      </c>
    </row>
    <row r="9" ht="19.5" customHeight="1">
      <c r="D9" s="11" t="s">
        <v>10</v>
      </c>
      <c r="E9" s="14">
        <f>IF(Dashboard!B4=0,0,Gastos!C42/Dashboard!B4)</f>
        <v>0.1922105263</v>
      </c>
    </row>
    <row r="10" ht="9.75" customHeight="1"/>
    <row r="11" ht="18.0" customHeight="1">
      <c r="A11" s="4" t="s">
        <v>11</v>
      </c>
      <c r="B11" s="2"/>
      <c r="C11" s="2"/>
      <c r="D11" s="2"/>
      <c r="E11" s="3"/>
    </row>
    <row r="12" ht="15.75" customHeight="1">
      <c r="A12" s="15" t="s">
        <v>12</v>
      </c>
      <c r="B12" s="15" t="s">
        <v>13</v>
      </c>
      <c r="C12" s="15"/>
      <c r="D12" s="15" t="s">
        <v>14</v>
      </c>
      <c r="E12" s="15"/>
    </row>
    <row r="13" ht="19.5" customHeight="1">
      <c r="A13" s="16" t="s">
        <v>15</v>
      </c>
      <c r="B13" s="17">
        <f>Gastos!B13</f>
        <v>0.34</v>
      </c>
      <c r="C13" s="16"/>
      <c r="D13" s="18">
        <f>Gastos!C13</f>
        <v>800</v>
      </c>
      <c r="E13" s="16"/>
    </row>
    <row r="14" ht="19.5" customHeight="1">
      <c r="A14" s="19" t="s">
        <v>16</v>
      </c>
      <c r="B14" s="20">
        <f>Gastos!B15</f>
        <v>0.18</v>
      </c>
      <c r="C14" s="19"/>
      <c r="D14" s="21">
        <f>Gastos!C15</f>
        <v>427.5</v>
      </c>
      <c r="E14" s="19"/>
    </row>
    <row r="15" ht="19.5" customHeight="1">
      <c r="A15" s="16" t="s">
        <v>17</v>
      </c>
      <c r="B15" s="17">
        <f>Gastos!B17</f>
        <v>0.08</v>
      </c>
      <c r="C15" s="16"/>
      <c r="D15" s="18">
        <f>Gastos!C17</f>
        <v>200</v>
      </c>
      <c r="E15" s="16"/>
    </row>
    <row r="16" ht="19.5" customHeight="1">
      <c r="A16" s="19" t="s">
        <v>18</v>
      </c>
      <c r="B16" s="20">
        <f>Gastos!B19</f>
        <v>0.01</v>
      </c>
      <c r="C16" s="19"/>
      <c r="D16" s="21">
        <f>Gastos!C19</f>
        <v>25</v>
      </c>
      <c r="E16" s="19"/>
    </row>
    <row r="17" ht="19.5" customHeight="1">
      <c r="A17" s="16" t="s">
        <v>19</v>
      </c>
      <c r="B17" s="17">
        <f>Gastos!B21</f>
        <v>0.08</v>
      </c>
      <c r="C17" s="16"/>
      <c r="D17" s="18">
        <f>Gastos!C21</f>
        <v>200</v>
      </c>
      <c r="E17" s="16"/>
    </row>
    <row r="18" ht="19.5" customHeight="1">
      <c r="A18" s="19" t="s">
        <v>20</v>
      </c>
      <c r="B18" s="20">
        <f>Gastos!B22</f>
        <v>0.08</v>
      </c>
      <c r="C18" s="19"/>
      <c r="D18" s="21">
        <f>Gastos!C22</f>
        <v>200</v>
      </c>
      <c r="E18" s="19"/>
    </row>
    <row r="19" ht="19.5" customHeight="1">
      <c r="A19" s="16" t="s">
        <v>21</v>
      </c>
      <c r="B19" s="17">
        <f>Gastos!B25</f>
        <v>0.01</v>
      </c>
      <c r="C19" s="16"/>
      <c r="D19" s="18">
        <f>Gastos!C25</f>
        <v>15</v>
      </c>
      <c r="E19" s="16"/>
    </row>
    <row r="20" ht="19.5" customHeight="1">
      <c r="A20" s="19" t="s">
        <v>22</v>
      </c>
      <c r="B20" s="20">
        <f>Gastos!B27</f>
        <v>0.01</v>
      </c>
      <c r="C20" s="19"/>
      <c r="D20" s="21">
        <f>Gastos!C27</f>
        <v>15</v>
      </c>
      <c r="E20" s="19"/>
    </row>
    <row r="21" ht="19.5" customHeight="1">
      <c r="A21" s="16" t="s">
        <v>23</v>
      </c>
      <c r="B21" s="17">
        <f>Gastos!B29</f>
        <v>0</v>
      </c>
      <c r="C21" s="16"/>
      <c r="D21" s="18">
        <f>Gastos!C29</f>
        <v>0</v>
      </c>
      <c r="E21" s="16"/>
    </row>
    <row r="22" ht="19.5" customHeight="1">
      <c r="A22" s="19" t="s">
        <v>24</v>
      </c>
      <c r="B22" s="20">
        <f>Gastos!B31</f>
        <v>0</v>
      </c>
      <c r="C22" s="19"/>
      <c r="D22" s="21">
        <f>Gastos!C31</f>
        <v>0</v>
      </c>
      <c r="E22" s="19"/>
    </row>
    <row r="23" ht="19.5" customHeight="1">
      <c r="A23" s="16" t="s">
        <v>25</v>
      </c>
      <c r="B23" s="17">
        <f>Gastos!B33</f>
        <v>0.01</v>
      </c>
      <c r="C23" s="16"/>
      <c r="D23" s="18">
        <f>Gastos!C33</f>
        <v>33</v>
      </c>
      <c r="E23" s="16"/>
    </row>
    <row r="24" ht="19.5" customHeight="1">
      <c r="A24" s="19" t="s">
        <v>26</v>
      </c>
      <c r="B24" s="20">
        <f>Gastos!B35</f>
        <v>0</v>
      </c>
      <c r="C24" s="19"/>
      <c r="D24" s="21">
        <f>Gastos!C35</f>
        <v>3</v>
      </c>
      <c r="E24" s="19"/>
    </row>
    <row r="25" ht="19.5" customHeight="1">
      <c r="A25" s="16" t="s">
        <v>27</v>
      </c>
      <c r="B25" s="17">
        <f>Gastos!B37</f>
        <v>0</v>
      </c>
      <c r="C25" s="16"/>
      <c r="D25" s="18">
        <f>Gastos!C37</f>
        <v>0</v>
      </c>
      <c r="E25" s="16"/>
    </row>
    <row r="26" ht="19.5" customHeight="1">
      <c r="A26" s="19" t="s">
        <v>28</v>
      </c>
      <c r="B26" s="20">
        <f>Gastos!B42</f>
        <v>0.1922105263</v>
      </c>
      <c r="C26" s="19"/>
      <c r="D26" s="21">
        <f>Gastos!C42</f>
        <v>456.5</v>
      </c>
      <c r="E26" s="19"/>
    </row>
    <row r="27" ht="21.75" customHeight="1">
      <c r="A27" s="22" t="s">
        <v>29</v>
      </c>
      <c r="B27" s="23">
        <f>Gastos!B41+Gastos!B42</f>
        <v>0.9922105263</v>
      </c>
      <c r="C27" s="24"/>
      <c r="D27" s="25">
        <f>Dashboard!B4</f>
        <v>2375</v>
      </c>
      <c r="E27" s="2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B3"/>
    <mergeCell ref="D3:E3"/>
    <mergeCell ref="A11:E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3" width="14.0"/>
    <col customWidth="1" min="4" max="4" width="30.0"/>
    <col customWidth="1" min="5" max="26" width="8.71"/>
  </cols>
  <sheetData>
    <row r="1" ht="30.0" customHeight="1">
      <c r="A1" s="26" t="s">
        <v>30</v>
      </c>
      <c r="B1" s="2"/>
      <c r="C1" s="2"/>
      <c r="D1" s="3"/>
    </row>
    <row r="2" ht="21.75" customHeight="1">
      <c r="A2" s="27" t="s">
        <v>31</v>
      </c>
      <c r="B2" s="28">
        <f>Dashboard!B4</f>
        <v>2375</v>
      </c>
      <c r="C2" s="16"/>
      <c r="D2" s="29" t="s">
        <v>32</v>
      </c>
    </row>
    <row r="3" ht="15.75" customHeight="1">
      <c r="A3" s="30" t="s">
        <v>33</v>
      </c>
      <c r="B3" s="31"/>
      <c r="C3" s="31"/>
      <c r="D3" s="32"/>
    </row>
    <row r="4" ht="18.0" customHeight="1">
      <c r="A4" s="19" t="s">
        <v>34</v>
      </c>
      <c r="B4" s="33">
        <v>0.34</v>
      </c>
      <c r="C4" s="34">
        <v>800.0</v>
      </c>
      <c r="D4" s="35" t="s">
        <v>35</v>
      </c>
    </row>
    <row r="5" ht="18.0" hidden="1" customHeight="1">
      <c r="A5" s="16" t="s">
        <v>36</v>
      </c>
      <c r="B5" s="33">
        <v>0.0</v>
      </c>
      <c r="C5" s="36">
        <v>0.0</v>
      </c>
      <c r="D5" s="29" t="s">
        <v>37</v>
      </c>
    </row>
    <row r="6" ht="18.0" hidden="1" customHeight="1">
      <c r="A6" s="19" t="s">
        <v>38</v>
      </c>
      <c r="B6" s="33">
        <v>0.0</v>
      </c>
      <c r="C6" s="34">
        <v>0.0</v>
      </c>
      <c r="D6" s="35" t="s">
        <v>39</v>
      </c>
    </row>
    <row r="7" ht="18.0" hidden="1" customHeight="1">
      <c r="A7" s="16" t="s">
        <v>40</v>
      </c>
      <c r="B7" s="33">
        <v>0.0</v>
      </c>
      <c r="C7" s="36">
        <v>0.0</v>
      </c>
      <c r="D7" s="29"/>
    </row>
    <row r="8" ht="18.0" hidden="1" customHeight="1">
      <c r="A8" s="19" t="s">
        <v>41</v>
      </c>
      <c r="B8" s="33">
        <v>0.0</v>
      </c>
      <c r="C8" s="34">
        <v>0.0</v>
      </c>
      <c r="D8" s="35"/>
    </row>
    <row r="9" ht="18.0" hidden="1" customHeight="1">
      <c r="A9" s="16" t="s">
        <v>42</v>
      </c>
      <c r="B9" s="33">
        <v>0.0</v>
      </c>
      <c r="C9" s="36">
        <v>0.0</v>
      </c>
      <c r="D9" s="29"/>
    </row>
    <row r="10" ht="18.0" hidden="1" customHeight="1">
      <c r="A10" s="19" t="s">
        <v>43</v>
      </c>
      <c r="B10" s="33">
        <v>0.0</v>
      </c>
      <c r="C10" s="34">
        <v>0.0</v>
      </c>
      <c r="D10" s="35" t="s">
        <v>44</v>
      </c>
    </row>
    <row r="11" ht="18.0" hidden="1" customHeight="1">
      <c r="A11" s="16" t="s">
        <v>45</v>
      </c>
      <c r="B11" s="33">
        <v>0.0</v>
      </c>
      <c r="C11" s="36">
        <v>0.0</v>
      </c>
      <c r="D11" s="29" t="s">
        <v>46</v>
      </c>
    </row>
    <row r="12" ht="18.0" hidden="1" customHeight="1">
      <c r="A12" s="19" t="s">
        <v>47</v>
      </c>
      <c r="B12" s="33">
        <v>0.0</v>
      </c>
      <c r="C12" s="34">
        <v>0.0</v>
      </c>
      <c r="D12" s="35" t="s">
        <v>48</v>
      </c>
    </row>
    <row r="13" ht="19.5" customHeight="1">
      <c r="A13" s="37" t="s">
        <v>49</v>
      </c>
      <c r="B13" s="38">
        <f t="shared" ref="B13:C13" si="1">SUM(B4:B12)</f>
        <v>0.34</v>
      </c>
      <c r="C13" s="39">
        <f t="shared" si="1"/>
        <v>800</v>
      </c>
      <c r="D13" s="40"/>
    </row>
    <row r="14" ht="15.75" customHeight="1">
      <c r="A14" s="30" t="s">
        <v>50</v>
      </c>
      <c r="B14" s="31"/>
      <c r="C14" s="31"/>
      <c r="D14" s="32"/>
    </row>
    <row r="15" ht="18.0" customHeight="1">
      <c r="A15" s="16" t="s">
        <v>51</v>
      </c>
      <c r="B15" s="33">
        <v>0.18</v>
      </c>
      <c r="C15" s="36">
        <v>427.5</v>
      </c>
      <c r="D15" s="29" t="s">
        <v>52</v>
      </c>
    </row>
    <row r="16" ht="15.75" customHeight="1">
      <c r="A16" s="30" t="s">
        <v>53</v>
      </c>
      <c r="B16" s="31"/>
      <c r="C16" s="31"/>
      <c r="D16" s="32"/>
    </row>
    <row r="17" ht="18.0" customHeight="1">
      <c r="A17" s="16" t="s">
        <v>54</v>
      </c>
      <c r="B17" s="33">
        <v>0.08</v>
      </c>
      <c r="C17" s="36">
        <v>200.0</v>
      </c>
      <c r="D17" s="29" t="s">
        <v>55</v>
      </c>
    </row>
    <row r="18" ht="15.75" customHeight="1">
      <c r="A18" s="30" t="s">
        <v>56</v>
      </c>
      <c r="B18" s="31"/>
      <c r="C18" s="31"/>
      <c r="D18" s="32"/>
    </row>
    <row r="19" ht="18.0" customHeight="1">
      <c r="A19" s="16" t="s">
        <v>57</v>
      </c>
      <c r="B19" s="33">
        <v>0.01</v>
      </c>
      <c r="C19" s="36">
        <v>25.0</v>
      </c>
      <c r="D19" s="29"/>
    </row>
    <row r="20" ht="15.75" customHeight="1">
      <c r="A20" s="30" t="s">
        <v>58</v>
      </c>
      <c r="B20" s="31"/>
      <c r="C20" s="31"/>
      <c r="D20" s="32"/>
    </row>
    <row r="21" ht="18.0" customHeight="1">
      <c r="A21" s="16" t="s">
        <v>59</v>
      </c>
      <c r="B21" s="33">
        <v>0.08</v>
      </c>
      <c r="C21" s="36">
        <v>200.0</v>
      </c>
      <c r="D21" s="29" t="s">
        <v>60</v>
      </c>
    </row>
    <row r="22" ht="18.0" customHeight="1">
      <c r="A22" s="19" t="s">
        <v>61</v>
      </c>
      <c r="B22" s="33">
        <v>0.08</v>
      </c>
      <c r="C22" s="34">
        <v>200.0</v>
      </c>
      <c r="D22" s="35" t="s">
        <v>62</v>
      </c>
    </row>
    <row r="23" ht="19.5" customHeight="1">
      <c r="A23" s="37" t="s">
        <v>63</v>
      </c>
      <c r="B23" s="38">
        <f t="shared" ref="B23:C23" si="2">SUM(B21:B22)</f>
        <v>0.16</v>
      </c>
      <c r="C23" s="39">
        <f t="shared" si="2"/>
        <v>400</v>
      </c>
      <c r="D23" s="40"/>
    </row>
    <row r="24" ht="15.75" customHeight="1">
      <c r="A24" s="30" t="s">
        <v>64</v>
      </c>
      <c r="B24" s="31"/>
      <c r="C24" s="31"/>
      <c r="D24" s="32"/>
    </row>
    <row r="25" ht="18.0" customHeight="1">
      <c r="A25" s="16" t="s">
        <v>65</v>
      </c>
      <c r="B25" s="33">
        <v>0.01</v>
      </c>
      <c r="C25" s="36">
        <v>15.0</v>
      </c>
      <c r="D25" s="29"/>
    </row>
    <row r="26" ht="15.75" customHeight="1">
      <c r="A26" s="30" t="s">
        <v>66</v>
      </c>
      <c r="B26" s="31"/>
      <c r="C26" s="31"/>
      <c r="D26" s="32"/>
    </row>
    <row r="27" ht="18.0" customHeight="1">
      <c r="A27" s="16" t="s">
        <v>67</v>
      </c>
      <c r="B27" s="33">
        <v>0.01</v>
      </c>
      <c r="C27" s="36">
        <v>15.0</v>
      </c>
      <c r="D27" s="29" t="s">
        <v>68</v>
      </c>
    </row>
    <row r="28" ht="15.75" customHeight="1">
      <c r="A28" s="41" t="s">
        <v>69</v>
      </c>
      <c r="B28" s="31"/>
      <c r="C28" s="31"/>
      <c r="D28" s="32"/>
    </row>
    <row r="29" ht="18.0" customHeight="1">
      <c r="A29" s="16" t="s">
        <v>70</v>
      </c>
      <c r="B29" s="33">
        <v>0.0</v>
      </c>
      <c r="C29" s="36">
        <v>0.0</v>
      </c>
      <c r="D29" s="29"/>
    </row>
    <row r="30" ht="15.75" customHeight="1">
      <c r="A30" s="41" t="s">
        <v>71</v>
      </c>
      <c r="B30" s="31"/>
      <c r="C30" s="31"/>
      <c r="D30" s="32"/>
    </row>
    <row r="31" ht="18.0" customHeight="1">
      <c r="A31" s="16" t="s">
        <v>72</v>
      </c>
      <c r="B31" s="33">
        <v>0.0</v>
      </c>
      <c r="C31" s="36">
        <v>0.0</v>
      </c>
      <c r="D31" s="29"/>
    </row>
    <row r="32" ht="15.75" customHeight="1">
      <c r="A32" s="41" t="s">
        <v>73</v>
      </c>
      <c r="B32" s="31"/>
      <c r="C32" s="31"/>
      <c r="D32" s="32"/>
    </row>
    <row r="33" ht="18.0" customHeight="1">
      <c r="A33" s="16" t="s">
        <v>74</v>
      </c>
      <c r="B33" s="33">
        <v>0.01</v>
      </c>
      <c r="C33" s="36">
        <v>33.0</v>
      </c>
      <c r="D33" s="29"/>
    </row>
    <row r="34" ht="15.75" customHeight="1">
      <c r="A34" s="30" t="s">
        <v>75</v>
      </c>
      <c r="B34" s="31"/>
      <c r="C34" s="31"/>
      <c r="D34" s="32"/>
    </row>
    <row r="35" ht="18.0" customHeight="1">
      <c r="A35" s="16" t="s">
        <v>76</v>
      </c>
      <c r="B35" s="33">
        <v>0.0</v>
      </c>
      <c r="C35" s="36">
        <v>3.0</v>
      </c>
      <c r="D35" s="29" t="s">
        <v>77</v>
      </c>
    </row>
    <row r="36" ht="15.75" hidden="1" customHeight="1">
      <c r="A36" s="41" t="s">
        <v>78</v>
      </c>
      <c r="B36" s="31"/>
      <c r="C36" s="31"/>
      <c r="D36" s="32"/>
    </row>
    <row r="37" ht="18.0" hidden="1" customHeight="1">
      <c r="A37" s="16" t="s">
        <v>79</v>
      </c>
      <c r="B37" s="33">
        <v>0.0</v>
      </c>
      <c r="C37" s="36">
        <v>0.0</v>
      </c>
      <c r="D37" s="29"/>
    </row>
    <row r="38" ht="7.5" customHeight="1"/>
    <row r="39" ht="21.75" customHeight="1">
      <c r="A39" s="42" t="s">
        <v>80</v>
      </c>
      <c r="B39" s="43">
        <f t="shared" ref="B39:C39" si="3">B13+B15+B17+B19+B25+B27+B29+B31+B33+B35+B37</f>
        <v>0.64</v>
      </c>
      <c r="C39" s="44">
        <f t="shared" si="3"/>
        <v>1518.5</v>
      </c>
      <c r="D39" s="45"/>
    </row>
    <row r="40" ht="21.75" customHeight="1">
      <c r="A40" s="46" t="s">
        <v>81</v>
      </c>
      <c r="B40" s="47">
        <f t="shared" ref="B40:C40" si="4">B23</f>
        <v>0.16</v>
      </c>
      <c r="C40" s="48">
        <f t="shared" si="4"/>
        <v>400</v>
      </c>
      <c r="D40" s="49"/>
    </row>
    <row r="41" ht="21.75" customHeight="1">
      <c r="A41" s="22" t="s">
        <v>82</v>
      </c>
      <c r="B41" s="23">
        <f t="shared" ref="B41:C41" si="5">B39+B40</f>
        <v>0.8</v>
      </c>
      <c r="C41" s="25">
        <f t="shared" si="5"/>
        <v>1918.5</v>
      </c>
      <c r="D41" s="24"/>
    </row>
    <row r="42" ht="21.75" customHeight="1">
      <c r="A42" s="50" t="s">
        <v>83</v>
      </c>
      <c r="B42" s="51">
        <f>IF(B2=0,0,(B2-C41)/B2)</f>
        <v>0.1922105263</v>
      </c>
      <c r="C42" s="52">
        <f>B2-C41</f>
        <v>456.5</v>
      </c>
      <c r="D42" s="53" t="s">
        <v>84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6:D26"/>
    <mergeCell ref="A28:D28"/>
    <mergeCell ref="A30:D30"/>
    <mergeCell ref="A32:D32"/>
    <mergeCell ref="A34:D34"/>
    <mergeCell ref="A36:D36"/>
    <mergeCell ref="A1:D1"/>
    <mergeCell ref="A3:D3"/>
    <mergeCell ref="A14:D14"/>
    <mergeCell ref="A16:D16"/>
    <mergeCell ref="A18:D18"/>
    <mergeCell ref="A20:D20"/>
    <mergeCell ref="A24:D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3" width="10.0"/>
    <col customWidth="1" min="14" max="26" width="8.71"/>
  </cols>
  <sheetData>
    <row r="1" ht="30.0" customHeight="1">
      <c r="A1" s="54" t="s">
        <v>85</v>
      </c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8.0" customHeight="1">
      <c r="A2" s="56" t="s">
        <v>12</v>
      </c>
      <c r="B2" s="56" t="s">
        <v>86</v>
      </c>
      <c r="C2" s="56" t="s">
        <v>87</v>
      </c>
      <c r="D2" s="56" t="s">
        <v>88</v>
      </c>
      <c r="E2" s="56" t="s">
        <v>89</v>
      </c>
      <c r="F2" s="56" t="s">
        <v>90</v>
      </c>
      <c r="G2" s="56" t="s">
        <v>91</v>
      </c>
      <c r="H2" s="56" t="s">
        <v>92</v>
      </c>
      <c r="I2" s="56" t="s">
        <v>93</v>
      </c>
      <c r="J2" s="56" t="s">
        <v>94</v>
      </c>
      <c r="K2" s="56" t="s">
        <v>95</v>
      </c>
      <c r="L2" s="56" t="s">
        <v>96</v>
      </c>
      <c r="M2" s="56" t="s">
        <v>97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8.0" customHeight="1">
      <c r="A3" s="57" t="s">
        <v>98</v>
      </c>
      <c r="B3" s="58">
        <v>0.0</v>
      </c>
      <c r="C3" s="58">
        <v>0.0</v>
      </c>
      <c r="D3" s="58">
        <v>0.0</v>
      </c>
      <c r="E3" s="58">
        <v>0.0</v>
      </c>
      <c r="F3" s="59">
        <v>800.0</v>
      </c>
      <c r="G3" s="58">
        <v>0.0</v>
      </c>
      <c r="H3" s="58">
        <v>0.0</v>
      </c>
      <c r="I3" s="58">
        <v>0.0</v>
      </c>
      <c r="J3" s="58">
        <v>0.0</v>
      </c>
      <c r="K3" s="58">
        <v>0.0</v>
      </c>
      <c r="L3" s="58">
        <v>0.0</v>
      </c>
      <c r="M3" s="58">
        <v>0.0</v>
      </c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8.0" customHeight="1">
      <c r="A4" s="60" t="s">
        <v>99</v>
      </c>
      <c r="B4" s="61">
        <v>0.0</v>
      </c>
      <c r="C4" s="61">
        <v>0.0</v>
      </c>
      <c r="D4" s="61">
        <v>0.0</v>
      </c>
      <c r="E4" s="61">
        <v>0.0</v>
      </c>
      <c r="F4" s="62">
        <v>427.5</v>
      </c>
      <c r="G4" s="61">
        <v>0.0</v>
      </c>
      <c r="H4" s="61">
        <v>0.0</v>
      </c>
      <c r="I4" s="61">
        <v>0.0</v>
      </c>
      <c r="J4" s="61">
        <v>0.0</v>
      </c>
      <c r="K4" s="61">
        <v>0.0</v>
      </c>
      <c r="L4" s="61">
        <v>0.0</v>
      </c>
      <c r="M4" s="61">
        <v>0.0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8.0" customHeight="1">
      <c r="A5" s="57" t="s">
        <v>100</v>
      </c>
      <c r="B5" s="58">
        <v>0.0</v>
      </c>
      <c r="C5" s="58">
        <v>0.0</v>
      </c>
      <c r="D5" s="58">
        <v>0.0</v>
      </c>
      <c r="E5" s="58">
        <v>0.0</v>
      </c>
      <c r="F5" s="59">
        <v>200.0</v>
      </c>
      <c r="G5" s="58">
        <v>0.0</v>
      </c>
      <c r="H5" s="58">
        <v>0.0</v>
      </c>
      <c r="I5" s="58">
        <v>0.0</v>
      </c>
      <c r="J5" s="58">
        <v>0.0</v>
      </c>
      <c r="K5" s="58">
        <v>0.0</v>
      </c>
      <c r="L5" s="58">
        <v>0.0</v>
      </c>
      <c r="M5" s="58">
        <v>0.0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8.0" customHeight="1">
      <c r="A6" s="60" t="s">
        <v>101</v>
      </c>
      <c r="B6" s="61">
        <v>0.0</v>
      </c>
      <c r="C6" s="61">
        <v>0.0</v>
      </c>
      <c r="D6" s="61">
        <v>0.0</v>
      </c>
      <c r="E6" s="61">
        <v>0.0</v>
      </c>
      <c r="F6" s="62">
        <v>25.0</v>
      </c>
      <c r="G6" s="61">
        <v>0.0</v>
      </c>
      <c r="H6" s="61">
        <v>0.0</v>
      </c>
      <c r="I6" s="61">
        <v>0.0</v>
      </c>
      <c r="J6" s="61">
        <v>0.0</v>
      </c>
      <c r="K6" s="61">
        <v>0.0</v>
      </c>
      <c r="L6" s="61">
        <v>0.0</v>
      </c>
      <c r="M6" s="61">
        <v>0.0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8.0" customHeight="1">
      <c r="A7" s="57" t="s">
        <v>102</v>
      </c>
      <c r="B7" s="58">
        <v>0.0</v>
      </c>
      <c r="C7" s="58">
        <v>0.0</v>
      </c>
      <c r="D7" s="58">
        <v>0.0</v>
      </c>
      <c r="E7" s="58">
        <v>0.0</v>
      </c>
      <c r="F7" s="59">
        <v>200.0</v>
      </c>
      <c r="G7" s="58">
        <v>0.0</v>
      </c>
      <c r="H7" s="58">
        <v>0.0</v>
      </c>
      <c r="I7" s="58">
        <v>0.0</v>
      </c>
      <c r="J7" s="58">
        <v>0.0</v>
      </c>
      <c r="K7" s="58">
        <v>0.0</v>
      </c>
      <c r="L7" s="58">
        <v>0.0</v>
      </c>
      <c r="M7" s="58">
        <v>0.0</v>
      </c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8.0" customHeight="1">
      <c r="A8" s="60" t="s">
        <v>103</v>
      </c>
      <c r="B8" s="61">
        <v>0.0</v>
      </c>
      <c r="C8" s="61">
        <v>0.0</v>
      </c>
      <c r="D8" s="61">
        <v>0.0</v>
      </c>
      <c r="E8" s="61">
        <v>0.0</v>
      </c>
      <c r="F8" s="62">
        <v>200.0</v>
      </c>
      <c r="G8" s="61">
        <v>0.0</v>
      </c>
      <c r="H8" s="61">
        <v>0.0</v>
      </c>
      <c r="I8" s="61">
        <v>0.0</v>
      </c>
      <c r="J8" s="61">
        <v>0.0</v>
      </c>
      <c r="K8" s="61">
        <v>0.0</v>
      </c>
      <c r="L8" s="61">
        <v>0.0</v>
      </c>
      <c r="M8" s="61">
        <v>0.0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8.0" customHeight="1">
      <c r="A9" s="57" t="s">
        <v>104</v>
      </c>
      <c r="B9" s="58">
        <v>0.0</v>
      </c>
      <c r="C9" s="58">
        <v>0.0</v>
      </c>
      <c r="D9" s="58">
        <v>0.0</v>
      </c>
      <c r="E9" s="58">
        <v>0.0</v>
      </c>
      <c r="F9" s="59">
        <v>15.0</v>
      </c>
      <c r="G9" s="58">
        <v>0.0</v>
      </c>
      <c r="H9" s="58">
        <v>0.0</v>
      </c>
      <c r="I9" s="58">
        <v>0.0</v>
      </c>
      <c r="J9" s="58">
        <v>0.0</v>
      </c>
      <c r="K9" s="58">
        <v>0.0</v>
      </c>
      <c r="L9" s="58">
        <v>0.0</v>
      </c>
      <c r="M9" s="58">
        <v>0.0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8.0" customHeight="1">
      <c r="A10" s="60" t="s">
        <v>105</v>
      </c>
      <c r="B10" s="61">
        <v>0.0</v>
      </c>
      <c r="C10" s="61">
        <v>0.0</v>
      </c>
      <c r="D10" s="61">
        <v>0.0</v>
      </c>
      <c r="E10" s="61">
        <v>0.0</v>
      </c>
      <c r="F10" s="62">
        <v>15.0</v>
      </c>
      <c r="G10" s="61">
        <v>0.0</v>
      </c>
      <c r="H10" s="61">
        <v>0.0</v>
      </c>
      <c r="I10" s="61">
        <v>0.0</v>
      </c>
      <c r="J10" s="61">
        <v>0.0</v>
      </c>
      <c r="K10" s="61">
        <v>0.0</v>
      </c>
      <c r="L10" s="61">
        <v>0.0</v>
      </c>
      <c r="M10" s="61">
        <v>0.0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8.0" customHeight="1">
      <c r="A11" s="57" t="s">
        <v>106</v>
      </c>
      <c r="B11" s="58">
        <v>0.0</v>
      </c>
      <c r="C11" s="58">
        <v>0.0</v>
      </c>
      <c r="D11" s="58">
        <v>0.0</v>
      </c>
      <c r="E11" s="58">
        <v>0.0</v>
      </c>
      <c r="F11" s="59">
        <v>0.0</v>
      </c>
      <c r="G11" s="58">
        <v>0.0</v>
      </c>
      <c r="H11" s="58">
        <v>0.0</v>
      </c>
      <c r="I11" s="58">
        <v>0.0</v>
      </c>
      <c r="J11" s="58">
        <v>0.0</v>
      </c>
      <c r="K11" s="58">
        <v>0.0</v>
      </c>
      <c r="L11" s="58">
        <v>0.0</v>
      </c>
      <c r="M11" s="58">
        <v>0.0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8.0" customHeight="1">
      <c r="A12" s="60" t="s">
        <v>107</v>
      </c>
      <c r="B12" s="61">
        <v>0.0</v>
      </c>
      <c r="C12" s="61">
        <v>0.0</v>
      </c>
      <c r="D12" s="61">
        <v>0.0</v>
      </c>
      <c r="E12" s="61">
        <v>0.0</v>
      </c>
      <c r="F12" s="62">
        <v>0.0</v>
      </c>
      <c r="G12" s="61">
        <v>0.0</v>
      </c>
      <c r="H12" s="61">
        <v>0.0</v>
      </c>
      <c r="I12" s="61">
        <v>0.0</v>
      </c>
      <c r="J12" s="61">
        <v>0.0</v>
      </c>
      <c r="K12" s="61">
        <v>0.0</v>
      </c>
      <c r="L12" s="61">
        <v>0.0</v>
      </c>
      <c r="M12" s="61">
        <v>0.0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8.0" customHeight="1">
      <c r="A13" s="57" t="s">
        <v>108</v>
      </c>
      <c r="B13" s="58">
        <v>0.0</v>
      </c>
      <c r="C13" s="58">
        <v>0.0</v>
      </c>
      <c r="D13" s="58">
        <v>0.0</v>
      </c>
      <c r="E13" s="58">
        <v>0.0</v>
      </c>
      <c r="F13" s="59">
        <v>33.0</v>
      </c>
      <c r="G13" s="58">
        <v>0.0</v>
      </c>
      <c r="H13" s="58">
        <v>0.0</v>
      </c>
      <c r="I13" s="58">
        <v>0.0</v>
      </c>
      <c r="J13" s="58">
        <v>0.0</v>
      </c>
      <c r="K13" s="58">
        <v>0.0</v>
      </c>
      <c r="L13" s="58">
        <v>0.0</v>
      </c>
      <c r="M13" s="58">
        <v>0.0</v>
      </c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8.0" customHeight="1">
      <c r="A14" s="60" t="s">
        <v>109</v>
      </c>
      <c r="B14" s="61">
        <v>0.0</v>
      </c>
      <c r="C14" s="61">
        <v>0.0</v>
      </c>
      <c r="D14" s="61">
        <v>0.0</v>
      </c>
      <c r="E14" s="61">
        <v>0.0</v>
      </c>
      <c r="F14" s="62">
        <v>3.0</v>
      </c>
      <c r="G14" s="61">
        <v>0.0</v>
      </c>
      <c r="H14" s="61">
        <v>0.0</v>
      </c>
      <c r="I14" s="61">
        <v>0.0</v>
      </c>
      <c r="J14" s="61">
        <v>0.0</v>
      </c>
      <c r="K14" s="61">
        <v>0.0</v>
      </c>
      <c r="L14" s="61">
        <v>0.0</v>
      </c>
      <c r="M14" s="61">
        <v>0.0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8.0" customHeight="1">
      <c r="A15" s="57" t="s">
        <v>110</v>
      </c>
      <c r="B15" s="58">
        <v>0.0</v>
      </c>
      <c r="C15" s="58">
        <v>0.0</v>
      </c>
      <c r="D15" s="58">
        <v>0.0</v>
      </c>
      <c r="E15" s="58">
        <v>0.0</v>
      </c>
      <c r="F15" s="59">
        <v>0.0</v>
      </c>
      <c r="G15" s="58">
        <v>0.0</v>
      </c>
      <c r="H15" s="58">
        <v>0.0</v>
      </c>
      <c r="I15" s="58">
        <v>0.0</v>
      </c>
      <c r="J15" s="58">
        <v>0.0</v>
      </c>
      <c r="K15" s="58">
        <v>0.0</v>
      </c>
      <c r="L15" s="58">
        <v>0.0</v>
      </c>
      <c r="M15" s="58">
        <v>0.0</v>
      </c>
      <c r="N15" s="63" t="s">
        <v>111</v>
      </c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8.0" customHeight="1">
      <c r="A16" s="64" t="s">
        <v>112</v>
      </c>
      <c r="B16" s="65">
        <v>0.0</v>
      </c>
      <c r="C16" s="65">
        <v>0.0</v>
      </c>
      <c r="D16" s="65">
        <v>0.0</v>
      </c>
      <c r="E16" s="65">
        <v>0.0</v>
      </c>
      <c r="F16" s="66">
        <v>456.5</v>
      </c>
      <c r="G16" s="65">
        <v>0.0</v>
      </c>
      <c r="H16" s="65">
        <v>0.0</v>
      </c>
      <c r="I16" s="65">
        <v>0.0</v>
      </c>
      <c r="J16" s="65">
        <v>0.0</v>
      </c>
      <c r="K16" s="65">
        <v>0.0</v>
      </c>
      <c r="L16" s="65">
        <v>0.0</v>
      </c>
      <c r="M16" s="65">
        <v>0.0</v>
      </c>
      <c r="N16" s="67">
        <f>SUM(B16:M16)</f>
        <v>456.5</v>
      </c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9.5" customHeight="1">
      <c r="A17" s="68" t="s">
        <v>29</v>
      </c>
      <c r="B17" s="69">
        <f t="shared" ref="B17:M17" si="1">SUM(B3:B16)</f>
        <v>0</v>
      </c>
      <c r="C17" s="69">
        <f t="shared" si="1"/>
        <v>0</v>
      </c>
      <c r="D17" s="69">
        <f t="shared" si="1"/>
        <v>0</v>
      </c>
      <c r="E17" s="69">
        <f t="shared" si="1"/>
        <v>0</v>
      </c>
      <c r="F17" s="69">
        <f t="shared" si="1"/>
        <v>2375</v>
      </c>
      <c r="G17" s="69">
        <f t="shared" si="1"/>
        <v>0</v>
      </c>
      <c r="H17" s="69">
        <f t="shared" si="1"/>
        <v>0</v>
      </c>
      <c r="I17" s="69">
        <f t="shared" si="1"/>
        <v>0</v>
      </c>
      <c r="J17" s="69">
        <f t="shared" si="1"/>
        <v>0</v>
      </c>
      <c r="K17" s="69">
        <f t="shared" si="1"/>
        <v>0</v>
      </c>
      <c r="L17" s="69">
        <f t="shared" si="1"/>
        <v>0</v>
      </c>
      <c r="M17" s="69">
        <f t="shared" si="1"/>
        <v>0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9.5" customHeight="1">
      <c r="A18" s="70" t="s">
        <v>113</v>
      </c>
      <c r="B18" s="71">
        <v>0.0</v>
      </c>
      <c r="C18" s="71">
        <v>0.0</v>
      </c>
      <c r="D18" s="71">
        <v>0.0</v>
      </c>
      <c r="E18" s="71">
        <v>0.0</v>
      </c>
      <c r="F18" s="72">
        <v>2375.0</v>
      </c>
      <c r="G18" s="71">
        <v>0.0</v>
      </c>
      <c r="H18" s="71">
        <v>0.0</v>
      </c>
      <c r="I18" s="71">
        <v>0.0</v>
      </c>
      <c r="J18" s="71">
        <v>0.0</v>
      </c>
      <c r="K18" s="71">
        <v>0.0</v>
      </c>
      <c r="L18" s="71">
        <v>0.0</v>
      </c>
      <c r="M18" s="71">
        <v>0.0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3">
    <mergeCell ref="A1:M1"/>
    <mergeCell ref="N15:O15"/>
    <mergeCell ref="N16:O16"/>
  </mergeCells>
  <printOptions/>
  <pageMargins bottom="1.0" footer="0.0" header="0.0" left="0.75" right="0.75" top="1.0"/>
  <pageSetup paperSize="9" orientation="portrait"/>
  <drawing r:id="rId1"/>
</worksheet>
</file>